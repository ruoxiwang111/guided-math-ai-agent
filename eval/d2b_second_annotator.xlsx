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cuments\Codex\guided-math-ai-agent\eval\"/>
    </mc:Choice>
  </mc:AlternateContent>
  <bookViews>
    <workbookView windowWidth="24750" windowHeight="12080"/>
  </bookViews>
  <sheets>
    <sheet name="cases" sheetId="1" r:id="rId1"/>
    <sheet name="说明" sheetId="2" r:id="rId2"/>
    <sheet name="题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d2b</author>
  </authors>
  <commentList>
    <comment ref="A1" authorId="0">
      <text>
        <r>
          <rPr>
            <sz val="10"/>
            <rFont val="宋体"/>
            <charset val="134"/>
          </rPr>
          <t>编号，已预填 D2b-001…；不用的行留着即可（没有 question_id 的行会被跳过）</t>
        </r>
      </text>
    </comment>
    <comment ref="B1" authorId="0">
      <text>
        <r>
          <rPr>
            <sz val="10"/>
            <rFont val="宋体"/>
            <charset val="134"/>
          </rPr>
          <t>对应题库哪一题（Q01–Q15，下拉选择；题目见“题目”工作表）</t>
        </r>
      </text>
    </comment>
    <comment ref="C1" authorId="0">
      <text>
        <r>
          <rPr>
            <sz val="10"/>
            <rFont val="宋体"/>
            <charset val="134"/>
          </rPr>
          <t>modelling = 列方程（S2）；execution = 解方程过程（S3）；answer = 只看最终答案（S4）</t>
        </r>
      </text>
    </comment>
    <comment ref="D1" authorId="0">
      <text>
        <r>
          <rPr>
            <sz val="10"/>
            <rFont val="宋体"/>
            <charset val="134"/>
          </rPr>
          <t>学生写的“设…”（modelling 可填；execution 可填；不写就留空）</t>
        </r>
      </text>
    </comment>
    <comment ref="E1" authorId="0">
      <text>
        <r>
          <rPr>
            <sz val="10"/>
            <rFont val="宋体"/>
            <charset val="134"/>
          </rPr>
          <t>modelling：学生列的方程（必填）。execution：学生在 S2 列好的方程（选填；填了就从它开始检查第 1 行）</t>
        </r>
      </text>
    </comment>
    <comment ref="F1" authorId="0">
      <text>
        <r>
          <rPr>
            <sz val="10"/>
            <rFont val="宋体"/>
            <charset val="134"/>
          </rPr>
          <t>execution：学生的解方程过程，一行一步（单元格内换行 Alt+Enter，或用 || 分隔）</t>
        </r>
      </text>
    </comment>
    <comment ref="G1" authorId="0">
      <text>
        <r>
          <rPr>
            <sz val="10"/>
            <rFont val="宋体"/>
            <charset val="134"/>
          </rPr>
          <t>answer：学生写的最终答案原文，例如“小明15岁，小华10岁”</t>
        </r>
      </text>
    </comment>
    <comment ref="H1" authorId="0">
      <text>
        <r>
          <rPr>
            <sz val="10"/>
            <rFont val="宋体"/>
            <charset val="134"/>
          </rPr>
          <t>你的判断：correct / incorrect / uncertain（两种解释都说得通）/ not_assessable（看不懂）</t>
        </r>
      </text>
    </comment>
    <comment ref="I1" authorId="0">
      <text>
        <r>
          <rPr>
            <sz val="10"/>
            <rFont val="宋体"/>
            <charset val="134"/>
          </rPr>
          <t>incorrect 时的主要错误类别 E1–E7（下拉）</t>
        </r>
      </text>
    </comment>
    <comment ref="J1" authorId="0">
      <text>
        <r>
          <rPr>
            <sz val="10"/>
            <rFont val="宋体"/>
            <charset val="134"/>
          </rPr>
          <t>只在 E4 时填 E4-01…E4-08（选填）</t>
        </r>
      </text>
    </comment>
    <comment ref="K1" authorId="0">
      <text>
        <r>
          <rPr>
            <sz val="10"/>
            <rFont val="宋体"/>
            <charset val="134"/>
          </rPr>
          <t>同时存在的其他独立错误，例如 E6;E7（多错误样本用）</t>
        </r>
      </text>
    </comment>
    <comment ref="L1" authorId="0">
      <text>
        <r>
          <rPr>
            <sz val="10"/>
            <rFont val="宋体"/>
            <charset val="134"/>
          </rPr>
          <t>execution 且有错时：steps 里第几行是第一个错的（从 1 数，只数 steps 单元格里的行）</t>
        </r>
      </text>
    </comment>
    <comment ref="M1" authorId="0">
      <text>
        <r>
          <rPr>
            <sz val="10"/>
            <rFont val="宋体"/>
            <charset val="134"/>
          </rPr>
          <t>作答里哪一处支持你的标注（原文摘录即可）</t>
        </r>
      </text>
    </comment>
    <comment ref="N1" authorId="0">
      <text>
        <r>
          <rPr>
            <sz val="10"/>
            <rFont val="宋体"/>
            <charset val="134"/>
          </rPr>
          <t>备注（选填）</t>
        </r>
      </text>
    </comment>
  </commentList>
</comments>
</file>

<file path=xl/sharedStrings.xml><?xml version="1.0" encoding="utf-8"?>
<sst xmlns="http://schemas.openxmlformats.org/spreadsheetml/2006/main" count="282" uniqueCount="208">
  <si>
    <t>case_id</t>
  </si>
  <si>
    <t>question_id</t>
  </si>
  <si>
    <t>layer</t>
  </si>
  <si>
    <t>variable_definition</t>
  </si>
  <si>
    <t>equation</t>
  </si>
  <si>
    <t>steps</t>
  </si>
  <si>
    <t>final_answer_text</t>
  </si>
  <si>
    <t>reference_status</t>
  </si>
  <si>
    <t>primary_error</t>
  </si>
  <si>
    <t>error_subtype</t>
  </si>
  <si>
    <t>secondary_errors</t>
  </si>
  <si>
    <t>first_invalid_step</t>
  </si>
  <si>
    <t>evidence</t>
  </si>
  <si>
    <t>note</t>
  </si>
  <si>
    <t>D2b-009</t>
  </si>
  <si>
    <t>Q01</t>
  </si>
  <si>
    <t>execution</t>
  </si>
  <si>
    <t>设小华今年x岁，小明今年（x＋5）岁。</t>
  </si>
  <si>
    <t>x＋x＋5＝25</t>
  </si>
  <si>
    <t>2x＋5＝25
2x＝25－5
2x＝15
x＝15÷2
x＝7</t>
  </si>
  <si>
    <t>incorrect</t>
  </si>
  <si>
    <t>E6</t>
  </si>
  <si>
    <t>他把 25－5 算成了 15，所以 2x＝15 就不对了，后面 x＝15÷2 又写成 7。</t>
  </si>
  <si>
    <t>方程本身是对的，问题出在口算。</t>
  </si>
  <si>
    <t>D2b-012</t>
  </si>
  <si>
    <t>Q14</t>
  </si>
  <si>
    <t>modelling</t>
  </si>
  <si>
    <t>解：设x</t>
  </si>
  <si>
    <t>x×（1＋20%）×（1－10%）＝216</t>
  </si>
  <si>
    <t>correct</t>
  </si>
  <si>
    <t>列的方程 x×1.2×0.9＝216 没问题，和标准答案一致。</t>
  </si>
  <si>
    <t>D2b-015</t>
  </si>
  <si>
    <t>Q04</t>
  </si>
  <si>
    <t>解：设小明回家时每分钟骑x米。</t>
  </si>
  <si>
    <t>300×10＋10x＝5500</t>
  </si>
  <si>
    <t>3000－10x＝5500
－10x＝5500＋3000
－10x＝8500
x＝850</t>
  </si>
  <si>
    <t>E7</t>
  </si>
  <si>
    <t>方程明明是 300×10＋10x＝5500，第一步就抄成了 3000－10x＝5500，把加号变成了减号。</t>
  </si>
  <si>
    <t>后面一直顺着这个错的符号往下算，结果也不对。</t>
  </si>
  <si>
    <t>D2b-018</t>
  </si>
  <si>
    <t>Q11</t>
  </si>
  <si>
    <t>解：设一支笔x元，则一本练习册（x＋2）元</t>
  </si>
  <si>
    <t>2（x＋2）＋3x＝29</t>
  </si>
  <si>
    <t>2（x＋2）＋3x＝29 列得对，题目关系没搞错。</t>
  </si>
  <si>
    <t>D2b-022</t>
  </si>
  <si>
    <t>解：设小华今年x岁，小明今年x－5岁。</t>
  </si>
  <si>
    <t>x＋x－5＝25</t>
  </si>
  <si>
    <t>E4</t>
  </si>
  <si>
    <t>小明明明比小华大 5 岁，他却写成小明 x－5 岁，把大小关系弄反了。</t>
  </si>
  <si>
    <t>D2b-023</t>
  </si>
  <si>
    <t>Q13</t>
  </si>
  <si>
    <t>解：设骑自行车用了x小时，乘汽车用了（2－x）小时。</t>
  </si>
  <si>
    <t>12x＝36＋30（2－x）</t>
  </si>
  <si>
    <t>E3</t>
  </si>
  <si>
    <t>正确应该两边加起来等于 36，也就是 12x＋30(2－x)＝36，他写成了 12x＝36＋30(2－x)，数量关系不对。</t>
  </si>
  <si>
    <t>D2b-024</t>
  </si>
  <si>
    <t>解：设商品原来的价格是x元</t>
  </si>
  <si>
    <t>1.2x×0.9＝216
1.08x＝216
x＝216×1.08
x＝233.28</t>
  </si>
  <si>
    <t>前面都好好的，到 x＝216×1.08 这一步他用了乘法，其实应该除以 1.08，答案就跑偏了。</t>
  </si>
  <si>
    <t>前两步 1.2x×0.9＝216、1.08x＝216 都对。</t>
  </si>
  <si>
    <t>D2b-033</t>
  </si>
  <si>
    <t>Q12</t>
  </si>
  <si>
    <t>x＋5＝（4x＋5）×1/3</t>
  </si>
  <si>
    <t>他是把小红的年龄设为 x，那妈妈就是 4x，写出来 x＋5＝(4x＋5)×1/3 是对的，和标准答案一个意思。</t>
  </si>
  <si>
    <t>D2b-037</t>
  </si>
  <si>
    <t>解：设小明去学校时骑了x米。</t>
  </si>
  <si>
    <t>x＋300×10＝5500</t>
  </si>
  <si>
    <t>E2</t>
  </si>
  <si>
    <t>他写的是设去学校时骑了 x 米，可方程 x＋300×10＝5500 里的 x 实际指的是回家那段路程，前后对不上。</t>
  </si>
  <si>
    <t>D2b-038</t>
  </si>
  <si>
    <t>Q09</t>
  </si>
  <si>
    <t>解：设小王回家用了x分钟。</t>
  </si>
  <si>
    <t>400x＋500×12＝12000</t>
  </si>
  <si>
    <t>400x＋500×12＝12000 列对了，把回家用的时间当未知数，没问题。</t>
  </si>
  <si>
    <t>D2b-039</t>
  </si>
  <si>
    <t>解：设小明回家时每分钟骑x千米</t>
  </si>
  <si>
    <t>E5</t>
  </si>
  <si>
    <t>他说 x 的单位是千米，可方程里 300、5500 全是米，单位没统一。</t>
  </si>
  <si>
    <t>D2b-054</t>
  </si>
  <si>
    <t>answer</t>
  </si>
  <si>
    <t>答：骑自行车用了1小时，乘汽车用了1小时。</t>
  </si>
  <si>
    <t>他答各用了 1 小时，可 12×1＋30×1＝42，根本到不了 36 千米，答案和题目的距离关系对不上。</t>
  </si>
  <si>
    <t>D2b-063</t>
  </si>
  <si>
    <t>设回家时每分钟行驶x米</t>
  </si>
  <si>
    <t>12×500＋12x＝12000</t>
  </si>
  <si>
    <t>x＝500</t>
  </si>
  <si>
    <t>E1</t>
  </si>
  <si>
    <t>题问回家用了多少分钟，他设的却是回家速度，解出来 x=500 是速度不是时间，答非所问。</t>
  </si>
  <si>
    <t>D2b 第二标注 — 请独立完成</t>
  </si>
  <si>
    <t/>
  </si>
  <si>
    <t>请你独立标注</t>
  </si>
  <si>
    <t>1</t>
  </si>
  <si>
    <t>cases 表里每一行是一个初中生对某道题的作答（题目见“题目”表）。前几列是作答，黄色列由你填写。</t>
  </si>
  <si>
    <t>2</t>
  </si>
  <si>
    <t>请只根据作答本身判断，不要和第一位标注人商量，也不要运行系统。</t>
  </si>
  <si>
    <t>3</t>
  </si>
  <si>
    <t>reference_status：correct（完全正确，等价写法也算）/ incorrect（有明确错误）/ uncertain（两种解释都说得通）/ not_assessable（看不懂）。</t>
  </si>
  <si>
    <t>4</t>
  </si>
  <si>
    <t>incorrect 时填 primary_error（E1–E7，定义见下）；有第二个独立错误填 secondary_errors；解方程过程有错时填 first_invalid_step（steps 里第几行，从 1 数）。</t>
  </si>
  <si>
    <t>5</t>
  </si>
  <si>
    <t>evidence：作答里哪一处让你这么判断（摘录原文即可）。</t>
  </si>
  <si>
    <t>错误类别</t>
  </si>
  <si>
    <t>没读懂题目要求什么（求错了量）</t>
  </si>
  <si>
    <t>未知数定义不清或前后不一致</t>
  </si>
  <si>
    <t>数量关系错误</t>
  </si>
  <si>
    <t>中文表述翻译成数学时的固定错误：比…多/少方向反、增加了20%与增加到120%混淆、打八折当成减0.8、几倍关系写反、少了三分之一写成1/3x 等</t>
  </si>
  <si>
    <t>单位或数量级错误</t>
  </si>
  <si>
    <t>算术计算错误</t>
  </si>
  <si>
    <t>代数变形或符号错误（移项不变号、去括号只乘第一项、只对一边运算等）</t>
  </si>
  <si>
    <t>列说明</t>
  </si>
  <si>
    <t>编号，已预填 D2b-001…；不用的行留着即可（没有 question_id 的行会被跳过）</t>
  </si>
  <si>
    <t>对应题库哪一题（Q01–Q15，下拉选择；题目见“题目”工作表）</t>
  </si>
  <si>
    <t>modelling = 列方程（S2）；execution = 解方程过程（S3）；answer = 只看最终答案（S4）</t>
  </si>
  <si>
    <t>学生写的“设…”（modelling 可填；execution 可填；不写就留空）</t>
  </si>
  <si>
    <t>modelling：学生列的方程（必填）。execution：学生在 S2 列好的方程（选填；填了就从它开始检查第 1 行）</t>
  </si>
  <si>
    <t>execution：学生的解方程过程，一行一步（单元格内换行 Alt+Enter，或用 || 分隔）</t>
  </si>
  <si>
    <t>answer：学生写的最终答案原文，例如“小明15岁，小华10岁”</t>
  </si>
  <si>
    <t>你的判断：correct / incorrect / uncertain（两种解释都说得通）/ not_assessable（看不懂）</t>
  </si>
  <si>
    <t>incorrect 时的主要错误类别 E1–E7（下拉）</t>
  </si>
  <si>
    <t>只在 E4 时填 E4-01…E4-08（选填）</t>
  </si>
  <si>
    <t>同时存在的其他独立错误，例如 E6;E7（多错误样本用）</t>
  </si>
  <si>
    <t>execution 且有错时：steps 里第几行是第一个错的（从 1 数，只数 steps 单元格里的行）</t>
  </si>
  <si>
    <t>作答里哪一处支持你的标注（原文摘录即可）</t>
  </si>
  <si>
    <t>备注（选填）</t>
  </si>
  <si>
    <t>topic</t>
  </si>
  <si>
    <t>question</t>
  </si>
  <si>
    <t>标准设法</t>
  </si>
  <si>
    <t>标准方程</t>
  </si>
  <si>
    <t>标准答案</t>
  </si>
  <si>
    <t>年龄关系</t>
  </si>
  <si>
    <t>小明今年的年龄比小华大5岁，两人的年龄之和是25岁。小明和小华今年分别多少岁？</t>
  </si>
  <si>
    <t>设小华今年x岁，则小明今年(x+5)岁</t>
  </si>
  <si>
    <t>x + (x + 5) = 25</t>
  </si>
  <si>
    <t>小华10岁，小明15岁</t>
  </si>
  <si>
    <t>Q02</t>
  </si>
  <si>
    <t>文具价格</t>
  </si>
  <si>
    <t>小丽买了一支笔和一个笔记本，一共花了28元。笔记本比笔贵12元。笔和笔记本各多少钱？</t>
  </si>
  <si>
    <t>设笔x元，则笔记本(x+12)元</t>
  </si>
  <si>
    <t>x + (x + 12) = 28</t>
  </si>
  <si>
    <t>笔8元，笔记本20元</t>
  </si>
  <si>
    <t>Q03</t>
  </si>
  <si>
    <t>打折求原价</t>
  </si>
  <si>
    <t>一件衣服打八折后售价为160元。这件衣服的原价是多少？</t>
  </si>
  <si>
    <t>设原价为x元</t>
  </si>
  <si>
    <t>0.8*x = 160</t>
  </si>
  <si>
    <t>原价200元</t>
  </si>
  <si>
    <t>往返路程</t>
  </si>
  <si>
    <t>小明去学校时每分钟骑300米，骑了10分钟。放学后他绕路去书店再回家，也骑了10分钟。已知他往返一共骑了5500米。求小明回家时每分钟骑多少米。</t>
  </si>
  <si>
    <t>设回家时每分钟骑x米</t>
  </si>
  <si>
    <t>300*10 + 10*x = 5500</t>
  </si>
  <si>
    <t>每分钟250米</t>
  </si>
  <si>
    <t>Q05</t>
  </si>
  <si>
    <t>长方形周长</t>
  </si>
  <si>
    <t>一个长方形的长比宽多4厘米，周长是28厘米。这个长方形的长和宽分别是多少？</t>
  </si>
  <si>
    <t>设宽为x厘米，则长为(x+4)厘米</t>
  </si>
  <si>
    <t>2*(x + (x + 4)) = 28</t>
  </si>
  <si>
    <t>宽5厘米，长9厘米</t>
  </si>
  <si>
    <t>Q06</t>
  </si>
  <si>
    <t>人数分组</t>
  </si>
  <si>
    <t>一个班男生和女生共42人，男生人数比女生少6人。这个班男生和女生各有多少人？</t>
  </si>
  <si>
    <t>设女生x人，则男生(x-6)人</t>
  </si>
  <si>
    <t>x + (x - 6) = 42</t>
  </si>
  <si>
    <t>女生24人，男生18人</t>
  </si>
  <si>
    <t>Q07</t>
  </si>
  <si>
    <t>涨价求原价</t>
  </si>
  <si>
    <t>某商品涨价20%后，售价为180元。求这件商品原来的价格。</t>
  </si>
  <si>
    <t>1.2*x = 180</t>
  </si>
  <si>
    <t>原价150元</t>
  </si>
  <si>
    <t>Q08</t>
  </si>
  <si>
    <t>折扣加优惠</t>
  </si>
  <si>
    <t>一件商品先打八折，然后再优惠10元，最后实际支付190元。求这件商品的原价。</t>
  </si>
  <si>
    <t>0.8*x - 10 = 190</t>
  </si>
  <si>
    <t>原价250元</t>
  </si>
  <si>
    <t>往返时间</t>
  </si>
  <si>
    <t>小王去公司时每分钟行驶500米，用了12分钟。回家时每分钟行驶400米。已知这一天往返一共行驶了12000米。求小王回家用了多少分钟。</t>
  </si>
  <si>
    <t>设回家用了x分钟</t>
  </si>
  <si>
    <t>500*12 + 400*x = 12000</t>
  </si>
  <si>
    <t>15分钟</t>
  </si>
  <si>
    <t>Q10</t>
  </si>
  <si>
    <t>工作效率</t>
  </si>
  <si>
    <t>一项工作，甲单独做每天完成全部工作的1/6，乙单独做每天完成全部工作的1/3。两人合作，需要多少天完成全部工作？</t>
  </si>
  <si>
    <t>设合作x天完成</t>
  </si>
  <si>
    <t>x*(1/6 + 1/3) = 1</t>
  </si>
  <si>
    <t>2天</t>
  </si>
  <si>
    <t>混合购买</t>
  </si>
  <si>
    <t>小李买了2本相同的练习册和3支相同的笔，一共花了29元。一本练习册比一支笔贵2元。一本练习册和一支笔分别多少钱？</t>
  </si>
  <si>
    <t>设一支笔x元，则一本练习册(x+2)元</t>
  </si>
  <si>
    <t>2*(x + 2) + 3*x = 29</t>
  </si>
  <si>
    <t>笔5元，练习册7元</t>
  </si>
  <si>
    <t>年龄变化</t>
  </si>
  <si>
    <t>小红今年的年龄是妈妈的1/4。5年后，小红的年龄是妈妈的1/3。小红和妈妈今年分别多少岁？</t>
  </si>
  <si>
    <t>设妈妈今年x岁，则小红今年x/4岁</t>
  </si>
  <si>
    <t>x/4 + 5 = (x + 5)/3</t>
  </si>
  <si>
    <t>妈妈40岁，小红10岁</t>
  </si>
  <si>
    <t>分段行程</t>
  </si>
  <si>
    <t>甲、乙两地相距36千米。小王先骑自行车从甲地出发，每小时骑12千米，骑了一段时间后改乘汽车，每小时行驶30千米。整个过程用了2小时。骑自行车和乘汽车分别用了多少小时？</t>
  </si>
  <si>
    <t>设骑自行车x小时，则乘汽车(2-x)小时</t>
  </si>
  <si>
    <t>12*x + 30*(2 - x) = 36</t>
  </si>
  <si>
    <t>骑自行车4/3小时（80分钟），乘汽车2/3小时（40分钟）</t>
  </si>
  <si>
    <t>连续百分比</t>
  </si>
  <si>
    <t>某商品第一次涨价20%，第二次在涨价后的价格基础上减少10%，最后价格为216元。求商品原来的价格。</t>
  </si>
  <si>
    <t>x*1.2*0.9 = 216</t>
  </si>
  <si>
    <t>Q15</t>
  </si>
  <si>
    <t>分配与转移</t>
  </si>
  <si>
    <t>学校购买了一批笔记本电脑，分给甲、乙两个班。甲班拿出4台给乙班后，两个班的电脑数量相同。如果两个班原来共有56台电脑，原来甲、乙两个班分别分到多少台？</t>
  </si>
  <si>
    <t>设乙班原来x台，则甲班原来(56-x)台</t>
  </si>
  <si>
    <t>56 - x - 4 = x + 4</t>
  </si>
  <si>
    <t>甲班32台，乙班24台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</si>
</sst>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DE7F0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0" xfId="0" applyFont="1" applyFill="1"/>
    <xf numFmtId="0" fontId="1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M4" sqref="M4"/>
    </sheetView>
  </sheetViews>
  <sheetFormatPr defaultColWidth="9" defaultRowHeight="14"/>
  <cols>
    <col min="1" max="2" width="11" customWidth="1"/>
    <col min="3" max="3" width="12" customWidth="1"/>
    <col min="4" max="5" width="26" customWidth="1"/>
    <col min="6" max="6" width="30" customWidth="1"/>
    <col min="7" max="7" width="22" customWidth="1"/>
    <col min="8" max="8" width="15" customWidth="1"/>
    <col min="9" max="10" width="12" customWidth="1"/>
    <col min="11" max="11" width="14" customWidth="1"/>
    <col min="12" max="12" width="12" customWidth="1"/>
    <col min="13" max="13" width="30" customWidth="1"/>
    <col min="14" max="14" width="24" customWidth="1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5" t="s">
        <v>13</v>
      </c>
    </row>
    <row r="2" ht="70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 t="s">
        <v>20</v>
      </c>
      <c r="I2" s="2" t="s">
        <v>21</v>
      </c>
      <c r="J2" s="2"/>
      <c r="K2" s="2"/>
      <c r="L2" s="2">
        <v>3</v>
      </c>
      <c r="M2" s="2" t="s">
        <v>22</v>
      </c>
      <c r="N2" s="2" t="s">
        <v>23</v>
      </c>
    </row>
    <row r="3" ht="28" spans="1:14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/>
      <c r="G3" s="2"/>
      <c r="H3" s="2" t="s">
        <v>29</v>
      </c>
      <c r="I3" s="2"/>
      <c r="J3" s="2"/>
      <c r="K3" s="2"/>
      <c r="L3" s="2"/>
      <c r="M3" s="2" t="s">
        <v>30</v>
      </c>
      <c r="N3" s="2"/>
    </row>
    <row r="4" ht="56" spans="1:14">
      <c r="A4" s="2" t="s">
        <v>31</v>
      </c>
      <c r="B4" s="2" t="s">
        <v>32</v>
      </c>
      <c r="C4" s="2" t="s">
        <v>16</v>
      </c>
      <c r="D4" s="2" t="s">
        <v>33</v>
      </c>
      <c r="E4" s="2" t="s">
        <v>34</v>
      </c>
      <c r="F4" s="2" t="s">
        <v>35</v>
      </c>
      <c r="G4" s="2"/>
      <c r="H4" s="2" t="s">
        <v>20</v>
      </c>
      <c r="I4" s="2" t="s">
        <v>36</v>
      </c>
      <c r="J4" s="2"/>
      <c r="K4" s="2"/>
      <c r="L4" s="2">
        <v>1</v>
      </c>
      <c r="M4" s="2" t="s">
        <v>37</v>
      </c>
      <c r="N4" s="2" t="s">
        <v>38</v>
      </c>
    </row>
    <row r="5" ht="28" spans="1:14">
      <c r="A5" s="2" t="s">
        <v>39</v>
      </c>
      <c r="B5" s="2" t="s">
        <v>40</v>
      </c>
      <c r="C5" s="2" t="s">
        <v>26</v>
      </c>
      <c r="D5" s="2" t="s">
        <v>41</v>
      </c>
      <c r="E5" s="2" t="s">
        <v>42</v>
      </c>
      <c r="F5" s="2"/>
      <c r="G5" s="2"/>
      <c r="H5" s="2" t="s">
        <v>29</v>
      </c>
      <c r="I5" s="2"/>
      <c r="J5" s="2"/>
      <c r="K5" s="2"/>
      <c r="L5" s="2"/>
      <c r="M5" s="2" t="s">
        <v>43</v>
      </c>
      <c r="N5" s="2"/>
    </row>
    <row r="6" ht="42" spans="1:14">
      <c r="A6" s="2" t="s">
        <v>44</v>
      </c>
      <c r="B6" s="2" t="s">
        <v>15</v>
      </c>
      <c r="C6" s="2" t="s">
        <v>26</v>
      </c>
      <c r="D6" s="2" t="s">
        <v>45</v>
      </c>
      <c r="E6" s="2" t="s">
        <v>46</v>
      </c>
      <c r="F6" s="2"/>
      <c r="G6" s="2"/>
      <c r="H6" s="2" t="s">
        <v>20</v>
      </c>
      <c r="I6" s="2" t="s">
        <v>47</v>
      </c>
      <c r="J6" s="2"/>
      <c r="K6" s="2"/>
      <c r="L6" s="2"/>
      <c r="M6" s="2" t="s">
        <v>48</v>
      </c>
      <c r="N6" s="2"/>
    </row>
    <row r="7" ht="56" spans="1:14">
      <c r="A7" s="2" t="s">
        <v>49</v>
      </c>
      <c r="B7" s="2" t="s">
        <v>50</v>
      </c>
      <c r="C7" s="2" t="s">
        <v>26</v>
      </c>
      <c r="D7" s="2" t="s">
        <v>51</v>
      </c>
      <c r="E7" s="2" t="s">
        <v>52</v>
      </c>
      <c r="F7" s="2"/>
      <c r="G7" s="2"/>
      <c r="H7" s="2" t="s">
        <v>20</v>
      </c>
      <c r="I7" s="2" t="s">
        <v>53</v>
      </c>
      <c r="J7" s="2"/>
      <c r="K7" s="2"/>
      <c r="L7" s="2"/>
      <c r="M7" s="2" t="s">
        <v>54</v>
      </c>
      <c r="N7" s="2"/>
    </row>
    <row r="8" ht="56" spans="1:14">
      <c r="A8" s="2" t="s">
        <v>55</v>
      </c>
      <c r="B8" s="2" t="s">
        <v>25</v>
      </c>
      <c r="C8" s="2" t="s">
        <v>16</v>
      </c>
      <c r="D8" s="2" t="s">
        <v>56</v>
      </c>
      <c r="E8" s="2" t="s">
        <v>28</v>
      </c>
      <c r="F8" s="2" t="s">
        <v>57</v>
      </c>
      <c r="G8" s="2"/>
      <c r="H8" s="2" t="s">
        <v>20</v>
      </c>
      <c r="I8" s="2" t="s">
        <v>36</v>
      </c>
      <c r="J8" s="2"/>
      <c r="K8" s="2"/>
      <c r="L8" s="2">
        <v>3</v>
      </c>
      <c r="M8" s="2" t="s">
        <v>58</v>
      </c>
      <c r="N8" s="2" t="s">
        <v>59</v>
      </c>
    </row>
    <row r="9" ht="56" spans="1:14">
      <c r="A9" s="2" t="s">
        <v>60</v>
      </c>
      <c r="B9" s="2" t="s">
        <v>61</v>
      </c>
      <c r="C9" s="2" t="s">
        <v>26</v>
      </c>
      <c r="D9" s="2" t="s">
        <v>27</v>
      </c>
      <c r="E9" s="2" t="s">
        <v>62</v>
      </c>
      <c r="F9" s="2"/>
      <c r="G9" s="2"/>
      <c r="H9" s="2" t="s">
        <v>29</v>
      </c>
      <c r="I9" s="2"/>
      <c r="J9" s="2"/>
      <c r="K9" s="2"/>
      <c r="L9" s="2"/>
      <c r="M9" s="2" t="s">
        <v>63</v>
      </c>
      <c r="N9" s="2"/>
    </row>
    <row r="10" ht="56" spans="1:14">
      <c r="A10" s="2" t="s">
        <v>64</v>
      </c>
      <c r="B10" s="2" t="s">
        <v>32</v>
      </c>
      <c r="C10" s="2" t="s">
        <v>26</v>
      </c>
      <c r="D10" s="2" t="s">
        <v>65</v>
      </c>
      <c r="E10" s="2" t="s">
        <v>66</v>
      </c>
      <c r="F10" s="2"/>
      <c r="G10" s="2"/>
      <c r="H10" s="2" t="s">
        <v>20</v>
      </c>
      <c r="I10" s="2" t="s">
        <v>67</v>
      </c>
      <c r="J10" s="2"/>
      <c r="K10" s="2"/>
      <c r="L10" s="2"/>
      <c r="M10" s="2" t="s">
        <v>68</v>
      </c>
      <c r="N10" s="2"/>
    </row>
    <row r="11" ht="42" spans="1:14">
      <c r="A11" s="2" t="s">
        <v>69</v>
      </c>
      <c r="B11" s="2" t="s">
        <v>70</v>
      </c>
      <c r="C11" s="2" t="s">
        <v>26</v>
      </c>
      <c r="D11" s="2" t="s">
        <v>71</v>
      </c>
      <c r="E11" s="2" t="s">
        <v>72</v>
      </c>
      <c r="F11" s="2"/>
      <c r="G11" s="2"/>
      <c r="H11" s="2" t="s">
        <v>29</v>
      </c>
      <c r="I11" s="2"/>
      <c r="J11" s="2"/>
      <c r="K11" s="2"/>
      <c r="L11" s="2"/>
      <c r="M11" s="2" t="s">
        <v>73</v>
      </c>
      <c r="N11" s="2"/>
    </row>
    <row r="12" ht="42" spans="1:14">
      <c r="A12" s="2" t="s">
        <v>74</v>
      </c>
      <c r="B12" s="2" t="s">
        <v>32</v>
      </c>
      <c r="C12" s="2" t="s">
        <v>26</v>
      </c>
      <c r="D12" s="2" t="s">
        <v>75</v>
      </c>
      <c r="E12" s="2" t="s">
        <v>34</v>
      </c>
      <c r="F12" s="2"/>
      <c r="G12" s="2"/>
      <c r="H12" s="2" t="s">
        <v>20</v>
      </c>
      <c r="I12" s="2" t="s">
        <v>76</v>
      </c>
      <c r="J12" s="2"/>
      <c r="K12" s="2"/>
      <c r="L12" s="2"/>
      <c r="M12" s="2" t="s">
        <v>77</v>
      </c>
      <c r="N12" s="2"/>
    </row>
    <row r="13" ht="56" spans="1:14">
      <c r="A13" s="2" t="s">
        <v>78</v>
      </c>
      <c r="B13" s="2" t="s">
        <v>50</v>
      </c>
      <c r="C13" s="2" t="s">
        <v>79</v>
      </c>
      <c r="D13" s="2"/>
      <c r="E13" s="2"/>
      <c r="F13" s="2"/>
      <c r="G13" s="2" t="s">
        <v>80</v>
      </c>
      <c r="H13" s="2" t="s">
        <v>20</v>
      </c>
      <c r="I13" s="2" t="s">
        <v>53</v>
      </c>
      <c r="J13" s="2"/>
      <c r="K13" s="2"/>
      <c r="L13" s="2"/>
      <c r="M13" s="2" t="s">
        <v>81</v>
      </c>
      <c r="N13" s="2"/>
    </row>
    <row r="14" ht="42" spans="1:14">
      <c r="A14" s="2" t="s">
        <v>82</v>
      </c>
      <c r="B14" s="2" t="s">
        <v>70</v>
      </c>
      <c r="C14" s="2" t="s">
        <v>16</v>
      </c>
      <c r="D14" s="2" t="s">
        <v>83</v>
      </c>
      <c r="E14" s="2" t="s">
        <v>84</v>
      </c>
      <c r="F14" s="2" t="s">
        <v>85</v>
      </c>
      <c r="G14" s="2"/>
      <c r="H14" s="2" t="s">
        <v>20</v>
      </c>
      <c r="I14" s="2" t="s">
        <v>86</v>
      </c>
      <c r="J14" s="2"/>
      <c r="K14" s="2"/>
      <c r="L14" s="2"/>
      <c r="M14" s="2" t="s">
        <v>87</v>
      </c>
      <c r="N14" s="2"/>
    </row>
  </sheetData>
  <dataValidations count="6">
    <dataValidation type="list" allowBlank="1" sqref="B2:B14">
      <formula1>"Q01,Q02,Q03,Q04,Q05,Q06,Q07,Q08,Q09,Q10,Q11,Q12,Q13,Q14,Q15"</formula1>
    </dataValidation>
    <dataValidation type="list" allowBlank="1" sqref="C2:C14">
      <formula1>"modelling,execution,answer"</formula1>
    </dataValidation>
    <dataValidation type="list" allowBlank="1" sqref="H2:H14">
      <formula1>"correct,incorrect,uncertain,not_assessable"</formula1>
    </dataValidation>
    <dataValidation type="list" allowBlank="1" sqref="I2:I14">
      <formula1>"E1,E2,E3,E4,E5,E6,E7"</formula1>
    </dataValidation>
    <dataValidation type="list" allowBlank="1" sqref="J2:J14">
      <formula1>"E4-01,E4-02,E4-03,E4-04,E4-05,E4-06,E4-07,E4-08"</formula1>
    </dataValidation>
    <dataValidation type="whole" operator="between" allowBlank="1" sqref="L2:L14">
      <formula1>1</formula1>
      <formula2>30</formula2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A1" sqref="A1"/>
    </sheetView>
  </sheetViews>
  <sheetFormatPr defaultColWidth="9" defaultRowHeight="14" outlineLevelCol="1"/>
  <cols>
    <col min="1" max="1" width="30" customWidth="1"/>
    <col min="2" max="2" width="110" customWidth="1"/>
  </cols>
  <sheetData>
    <row r="1" ht="33" spans="1:2">
      <c r="A1" s="3" t="s">
        <v>88</v>
      </c>
      <c r="B1" s="2" t="s">
        <v>89</v>
      </c>
    </row>
    <row r="2" spans="1:2">
      <c r="A2" s="2" t="s">
        <v>89</v>
      </c>
      <c r="B2" s="2" t="s">
        <v>89</v>
      </c>
    </row>
    <row r="3" spans="1:2">
      <c r="A3" s="4" t="s">
        <v>90</v>
      </c>
      <c r="B3" s="2" t="s">
        <v>89</v>
      </c>
    </row>
    <row r="4" spans="1:2">
      <c r="A4" s="2" t="s">
        <v>91</v>
      </c>
      <c r="B4" s="2" t="s">
        <v>92</v>
      </c>
    </row>
    <row r="5" spans="1:2">
      <c r="A5" s="2" t="s">
        <v>93</v>
      </c>
      <c r="B5" s="2" t="s">
        <v>94</v>
      </c>
    </row>
    <row r="6" ht="28" spans="1:2">
      <c r="A6" s="2" t="s">
        <v>95</v>
      </c>
      <c r="B6" s="2" t="s">
        <v>96</v>
      </c>
    </row>
    <row r="7" ht="28" spans="1:2">
      <c r="A7" s="2" t="s">
        <v>97</v>
      </c>
      <c r="B7" s="2" t="s">
        <v>98</v>
      </c>
    </row>
    <row r="8" spans="1:2">
      <c r="A8" s="2" t="s">
        <v>99</v>
      </c>
      <c r="B8" s="2" t="s">
        <v>100</v>
      </c>
    </row>
    <row r="9" spans="1:2">
      <c r="A9" s="2" t="s">
        <v>89</v>
      </c>
      <c r="B9" s="2" t="s">
        <v>89</v>
      </c>
    </row>
    <row r="10" spans="1:2">
      <c r="A10" s="4" t="s">
        <v>101</v>
      </c>
      <c r="B10" s="2" t="s">
        <v>89</v>
      </c>
    </row>
    <row r="11" spans="1:2">
      <c r="A11" s="2" t="s">
        <v>86</v>
      </c>
      <c r="B11" s="2" t="s">
        <v>102</v>
      </c>
    </row>
    <row r="12" spans="1:2">
      <c r="A12" s="2" t="s">
        <v>67</v>
      </c>
      <c r="B12" s="2" t="s">
        <v>103</v>
      </c>
    </row>
    <row r="13" spans="1:2">
      <c r="A13" s="2" t="s">
        <v>53</v>
      </c>
      <c r="B13" s="2" t="s">
        <v>104</v>
      </c>
    </row>
    <row r="14" ht="28" spans="1:2">
      <c r="A14" s="2" t="s">
        <v>47</v>
      </c>
      <c r="B14" s="2" t="s">
        <v>105</v>
      </c>
    </row>
    <row r="15" spans="1:2">
      <c r="A15" s="2" t="s">
        <v>76</v>
      </c>
      <c r="B15" s="2" t="s">
        <v>106</v>
      </c>
    </row>
    <row r="16" spans="1:2">
      <c r="A16" s="2" t="s">
        <v>21</v>
      </c>
      <c r="B16" s="2" t="s">
        <v>107</v>
      </c>
    </row>
    <row r="17" spans="1:2">
      <c r="A17" s="2" t="s">
        <v>36</v>
      </c>
      <c r="B17" s="2" t="s">
        <v>108</v>
      </c>
    </row>
    <row r="18" spans="1:2">
      <c r="A18" s="2" t="s">
        <v>89</v>
      </c>
      <c r="B18" s="2" t="s">
        <v>89</v>
      </c>
    </row>
    <row r="19" spans="1:2">
      <c r="A19" s="4" t="s">
        <v>109</v>
      </c>
      <c r="B19" s="2" t="s">
        <v>89</v>
      </c>
    </row>
    <row r="20" spans="1:2">
      <c r="A20" s="2" t="s">
        <v>0</v>
      </c>
      <c r="B20" s="2" t="s">
        <v>110</v>
      </c>
    </row>
    <row r="21" spans="1:2">
      <c r="A21" s="2" t="s">
        <v>1</v>
      </c>
      <c r="B21" s="2" t="s">
        <v>111</v>
      </c>
    </row>
    <row r="22" spans="1:2">
      <c r="A22" s="2" t="s">
        <v>2</v>
      </c>
      <c r="B22" s="2" t="s">
        <v>112</v>
      </c>
    </row>
    <row r="23" spans="1:2">
      <c r="A23" s="2" t="s">
        <v>3</v>
      </c>
      <c r="B23" s="2" t="s">
        <v>113</v>
      </c>
    </row>
    <row r="24" spans="1:2">
      <c r="A24" s="2" t="s">
        <v>4</v>
      </c>
      <c r="B24" s="2" t="s">
        <v>114</v>
      </c>
    </row>
    <row r="25" spans="1:2">
      <c r="A25" s="2" t="s">
        <v>5</v>
      </c>
      <c r="B25" s="2" t="s">
        <v>115</v>
      </c>
    </row>
    <row r="26" spans="1:2">
      <c r="A26" s="2" t="s">
        <v>6</v>
      </c>
      <c r="B26" s="2" t="s">
        <v>116</v>
      </c>
    </row>
    <row r="27" spans="1:2">
      <c r="A27" s="2" t="s">
        <v>7</v>
      </c>
      <c r="B27" s="2" t="s">
        <v>117</v>
      </c>
    </row>
    <row r="28" spans="1:2">
      <c r="A28" s="2" t="s">
        <v>8</v>
      </c>
      <c r="B28" s="2" t="s">
        <v>118</v>
      </c>
    </row>
    <row r="29" spans="1:2">
      <c r="A29" s="2" t="s">
        <v>9</v>
      </c>
      <c r="B29" s="2" t="s">
        <v>119</v>
      </c>
    </row>
    <row r="30" spans="1:2">
      <c r="A30" s="2" t="s">
        <v>10</v>
      </c>
      <c r="B30" s="2" t="s">
        <v>120</v>
      </c>
    </row>
    <row r="31" spans="1:2">
      <c r="A31" s="2" t="s">
        <v>11</v>
      </c>
      <c r="B31" s="2" t="s">
        <v>121</v>
      </c>
    </row>
    <row r="32" spans="1:2">
      <c r="A32" s="2" t="s">
        <v>12</v>
      </c>
      <c r="B32" s="2" t="s">
        <v>122</v>
      </c>
    </row>
    <row r="33" spans="1:2">
      <c r="A33" s="2" t="s">
        <v>13</v>
      </c>
      <c r="B33" s="2" t="s">
        <v>123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A1"/>
    </sheetView>
  </sheetViews>
  <sheetFormatPr defaultColWidth="9" defaultRowHeight="14" outlineLevelCol="5"/>
  <cols>
    <col min="1" max="1" width="11" customWidth="1"/>
    <col min="2" max="2" width="16" customWidth="1"/>
    <col min="3" max="3" width="70" customWidth="1"/>
    <col min="4" max="4" width="30" customWidth="1"/>
    <col min="5" max="5" width="26" customWidth="1"/>
    <col min="6" max="6" width="30" customWidth="1"/>
  </cols>
  <sheetData>
    <row r="1" spans="1:6">
      <c r="A1" s="1" t="s">
        <v>1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</row>
    <row r="2" ht="28" spans="1:6">
      <c r="A2" s="2" t="s">
        <v>15</v>
      </c>
      <c r="B2" s="2" t="s">
        <v>129</v>
      </c>
      <c r="C2" s="2" t="s">
        <v>130</v>
      </c>
      <c r="D2" s="2" t="s">
        <v>131</v>
      </c>
      <c r="E2" s="2" t="s">
        <v>132</v>
      </c>
      <c r="F2" s="2" t="s">
        <v>133</v>
      </c>
    </row>
    <row r="3" ht="28" spans="1:6">
      <c r="A3" s="2" t="s">
        <v>134</v>
      </c>
      <c r="B3" s="2" t="s">
        <v>135</v>
      </c>
      <c r="C3" s="2" t="s">
        <v>136</v>
      </c>
      <c r="D3" s="2" t="s">
        <v>137</v>
      </c>
      <c r="E3" s="2" t="s">
        <v>138</v>
      </c>
      <c r="F3" s="2" t="s">
        <v>139</v>
      </c>
    </row>
    <row r="4" spans="1:6">
      <c r="A4" s="2" t="s">
        <v>140</v>
      </c>
      <c r="B4" s="2" t="s">
        <v>141</v>
      </c>
      <c r="C4" s="2" t="s">
        <v>142</v>
      </c>
      <c r="D4" s="2" t="s">
        <v>143</v>
      </c>
      <c r="E4" s="2" t="s">
        <v>144</v>
      </c>
      <c r="F4" s="2" t="s">
        <v>145</v>
      </c>
    </row>
    <row r="5" ht="28" spans="1:6">
      <c r="A5" s="2" t="s">
        <v>32</v>
      </c>
      <c r="B5" s="2" t="s">
        <v>146</v>
      </c>
      <c r="C5" s="2" t="s">
        <v>147</v>
      </c>
      <c r="D5" s="2" t="s">
        <v>148</v>
      </c>
      <c r="E5" s="2" t="s">
        <v>149</v>
      </c>
      <c r="F5" s="2" t="s">
        <v>150</v>
      </c>
    </row>
    <row r="6" ht="28" spans="1:6">
      <c r="A6" s="2" t="s">
        <v>151</v>
      </c>
      <c r="B6" s="2" t="s">
        <v>152</v>
      </c>
      <c r="C6" s="2" t="s">
        <v>153</v>
      </c>
      <c r="D6" s="2" t="s">
        <v>154</v>
      </c>
      <c r="E6" s="2" t="s">
        <v>155</v>
      </c>
      <c r="F6" s="2" t="s">
        <v>156</v>
      </c>
    </row>
    <row r="7" ht="28" spans="1:6">
      <c r="A7" s="2" t="s">
        <v>157</v>
      </c>
      <c r="B7" s="2" t="s">
        <v>158</v>
      </c>
      <c r="C7" s="2" t="s">
        <v>159</v>
      </c>
      <c r="D7" s="2" t="s">
        <v>160</v>
      </c>
      <c r="E7" s="2" t="s">
        <v>161</v>
      </c>
      <c r="F7" s="2" t="s">
        <v>162</v>
      </c>
    </row>
    <row r="8" spans="1:6">
      <c r="A8" s="2" t="s">
        <v>163</v>
      </c>
      <c r="B8" s="2" t="s">
        <v>164</v>
      </c>
      <c r="C8" s="2" t="s">
        <v>165</v>
      </c>
      <c r="D8" s="2" t="s">
        <v>143</v>
      </c>
      <c r="E8" s="2" t="s">
        <v>166</v>
      </c>
      <c r="F8" s="2" t="s">
        <v>167</v>
      </c>
    </row>
    <row r="9" ht="28" spans="1:6">
      <c r="A9" s="2" t="s">
        <v>168</v>
      </c>
      <c r="B9" s="2" t="s">
        <v>169</v>
      </c>
      <c r="C9" s="2" t="s">
        <v>170</v>
      </c>
      <c r="D9" s="2" t="s">
        <v>143</v>
      </c>
      <c r="E9" s="2" t="s">
        <v>171</v>
      </c>
      <c r="F9" s="2" t="s">
        <v>172</v>
      </c>
    </row>
    <row r="10" ht="28" spans="1:6">
      <c r="A10" s="2" t="s">
        <v>70</v>
      </c>
      <c r="B10" s="2" t="s">
        <v>173</v>
      </c>
      <c r="C10" s="2" t="s">
        <v>174</v>
      </c>
      <c r="D10" s="2" t="s">
        <v>175</v>
      </c>
      <c r="E10" s="2" t="s">
        <v>176</v>
      </c>
      <c r="F10" s="2" t="s">
        <v>177</v>
      </c>
    </row>
    <row r="11" ht="28" spans="1:6">
      <c r="A11" s="2" t="s">
        <v>178</v>
      </c>
      <c r="B11" s="2" t="s">
        <v>179</v>
      </c>
      <c r="C11" s="2" t="s">
        <v>180</v>
      </c>
      <c r="D11" s="2" t="s">
        <v>181</v>
      </c>
      <c r="E11" s="2" t="s">
        <v>182</v>
      </c>
      <c r="F11" s="2" t="s">
        <v>183</v>
      </c>
    </row>
    <row r="12" ht="28" spans="1:6">
      <c r="A12" s="2" t="s">
        <v>40</v>
      </c>
      <c r="B12" s="2" t="s">
        <v>184</v>
      </c>
      <c r="C12" s="2" t="s">
        <v>185</v>
      </c>
      <c r="D12" s="2" t="s">
        <v>186</v>
      </c>
      <c r="E12" s="2" t="s">
        <v>187</v>
      </c>
      <c r="F12" s="2" t="s">
        <v>188</v>
      </c>
    </row>
    <row r="13" ht="28" spans="1:6">
      <c r="A13" s="2" t="s">
        <v>61</v>
      </c>
      <c r="B13" s="2" t="s">
        <v>189</v>
      </c>
      <c r="C13" s="2" t="s">
        <v>190</v>
      </c>
      <c r="D13" s="2" t="s">
        <v>191</v>
      </c>
      <c r="E13" s="2" t="s">
        <v>192</v>
      </c>
      <c r="F13" s="2" t="s">
        <v>193</v>
      </c>
    </row>
    <row r="14" ht="42" spans="1:6">
      <c r="A14" s="2" t="s">
        <v>50</v>
      </c>
      <c r="B14" s="2" t="s">
        <v>194</v>
      </c>
      <c r="C14" s="2" t="s">
        <v>195</v>
      </c>
      <c r="D14" s="2" t="s">
        <v>196</v>
      </c>
      <c r="E14" s="2" t="s">
        <v>197</v>
      </c>
      <c r="F14" s="2" t="s">
        <v>198</v>
      </c>
    </row>
    <row r="15" ht="28" spans="1:6">
      <c r="A15" s="2" t="s">
        <v>25</v>
      </c>
      <c r="B15" s="2" t="s">
        <v>199</v>
      </c>
      <c r="C15" s="2" t="s">
        <v>200</v>
      </c>
      <c r="D15" s="2" t="s">
        <v>143</v>
      </c>
      <c r="E15" s="2" t="s">
        <v>201</v>
      </c>
      <c r="F15" s="2" t="s">
        <v>145</v>
      </c>
    </row>
    <row r="16" ht="42" spans="1:6">
      <c r="A16" s="2" t="s">
        <v>202</v>
      </c>
      <c r="B16" s="2" t="s">
        <v>203</v>
      </c>
      <c r="C16" s="2" t="s">
        <v>204</v>
      </c>
      <c r="D16" s="2" t="s">
        <v>205</v>
      </c>
      <c r="E16" s="2" t="s">
        <v>206</v>
      </c>
      <c r="F16" s="2" t="s">
        <v>207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cases</vt:lpstr>
      <vt:lpstr>说明</vt:lpstr>
      <vt:lpstr>题目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w若曦</cp:lastModifiedBy>
  <dcterms:created xsi:type="dcterms:W3CDTF">2026-10-12T13:48:00Z</dcterms:created>
  <dcterms:modified xsi:type="dcterms:W3CDTF">2026-10-12T14:07:39Z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4ACB8DE2482441619B06A926FD138628_12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